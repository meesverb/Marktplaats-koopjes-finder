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Mijn fiets" sheetId="2" state="visible" r:id="rId4"/>
    <sheet name="Uitrusting" sheetId="3" state="visible" r:id="rId5"/>
    <sheet name="Mijn set" sheetId="4" state="visible" r:id="rId6"/>
  </sheets>
  <definedNames>
    <definedName function="false" hidden="true" localSheetId="2" name="_xlnm._FilterDatabase" vbProcedure="false">Uitrusting!$A$1:$Q$24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Eigen regels toevoegen: zelfde kolommen, plek = Frame/Zadel/Stuur/Bovenbuis/Stuurpen zodat 'Mijn set' ze meetelt.</t>
        </r>
      </text>
    </comment>
    <comment ref="G1" authorId="0">
      <text>
        <r>
          <rPr>
            <sz val="10"/>
            <rFont val="Arial"/>
            <family val="2"/>
          </rPr>
          <t xml:space="preserve">Gewicht gedeeld door inhoud: hoe lager, hoe lichter per liter bagageruimte.</t>
        </r>
      </text>
    </comment>
    <comment ref="H1" authorId="0">
      <text>
        <r>
          <rPr>
            <sz val="10"/>
            <rFont val="Arial"/>
            <family val="2"/>
          </rPr>
          <t xml:space="preserve">Prijs gedeeld door inhoud: hoe lager, hoe goedkoper per liter.</t>
        </r>
      </text>
    </comment>
    <comment ref="J1" authorId="0">
      <text>
        <r>
          <rPr>
            <sz val="10"/>
            <rFont val="Arial"/>
            <family val="2"/>
          </rPr>
          <t xml:space="preserve">De maat die de tas nodig heeft (lengte frametas, of minimale ruimte). Wordt vergeleken met de maat uit 'Mijn fiets': eis ≤ gemeten = past.</t>
        </r>
      </text>
    </comment>
    <comment ref="L1" authorId="0">
      <text>
        <r>
          <rPr>
            <sz val="10"/>
            <rFont val="Arial"/>
            <family val="2"/>
          </rPr>
          <t xml:space="preserve">Formule: zodra de maat in 'Mijn fiets' is ingevuld, zegt dit 'past' of 'past niet'. Daarvoor toont het de inschatting uit kolom M.</t>
        </r>
      </text>
    </comment>
  </commentList>
</comments>
</file>

<file path=xl/sharedStrings.xml><?xml version="1.0" encoding="utf-8"?>
<sst xmlns="http://schemas.openxmlformats.org/spreadsheetml/2006/main" count="257" uniqueCount="192">
  <si>
    <t xml:space="preserve">Bikepacking-uitrusting voor mijn Giant Defy Composite 1 (2012, maat M/L)</t>
  </si>
  <si>
    <t xml:space="preserve">Doel: zo goedkoop en zo licht mogelijk. Gemaakt 10-10-2026; bijbehorend document: fiets_master.md (§4 maten, §5 frametassen).</t>
  </si>
  <si>
    <t xml:space="preserve">Hoe gebruik je dit bestand</t>
  </si>
  <si>
    <t xml:space="preserve">1. Tabblad 'Mijn fiets': vul de gele cellen in zodra je bij de fiets bent (rolmaat). Dan rekent 'Past?' in 'Uitrusting' zelf uit of iets past.</t>
  </si>
  <si>
    <t xml:space="preserve">2. Tabblad 'Uitrusting': zet een x in de gele kolom 'Kies' bij wat je wilt. Voeg gerust eigen regels toe (onderaan, zelfde kolommen).</t>
  </si>
  <si>
    <t xml:space="preserve">3. Tabblad 'Mijn set': totaalgewicht en totaalprijs van wat je gekozen hebt, per plek op de fiets.</t>
  </si>
  <si>
    <t xml:space="preserve">Kleuren</t>
  </si>
  <si>
    <t xml:space="preserve">Gele cel = zelf invullen. Blauwe tekst = ingevuld getal (uit een bron of van jou). Zwarte tekst = formule.</t>
  </si>
  <si>
    <t xml:space="preserve">Over de prijzen en gewichten</t>
  </si>
  <si>
    <t xml:space="preserve">Prijzen zijn een momentopname van verkopers (winkel en datum staan erbij) en schommelen sterk; staat er geen europrijs, dan is het veld leeg. Kijk voor je koopt de actuele prijs na — en kijk ook op Marktplaats: bikepackingtassen gaan tweedehands vaak voor de helft.</t>
  </si>
  <si>
    <t xml:space="preserve">Gewichten en maten zijn opgaven van verkopers; bij tegenstrijdige opgaven staat de hoogste erbij en een opmerking.</t>
  </si>
  <si>
    <t xml:space="preserve">Niets in dit bestand is verzonnen: wat niet gevonden is, is leeg gelaten.</t>
  </si>
  <si>
    <t xml:space="preserve">Wat bepaalt of iets past op deze fiets</t>
  </si>
  <si>
    <t xml:space="preserve">• Geen bagagedrager: carbon frame en framespecifieke aero-zadelpen (Vector Composite) — een zadelpendrager klemt op een ronde pen. Daarom: tassen aan zadel, stuur en frame (bikepacking-stijl).</t>
  </si>
  <si>
    <t xml:space="preserve">• Frametas: alleen een half-frame tas onder de bovenbuis; vrije lengte geschat 45-50 cm (nog meten). Volle driehoektas = geen bidons meer.</t>
  </si>
  <si>
    <t xml:space="preserve">• Zadeltas: hangt van de ruimte tussen zadel en achterband af (meten). Banden onder de zadeltas mogen niet aanlopen bij hobbels.</t>
  </si>
  <si>
    <t xml:space="preserve">• Stuurtas: stuur van fabriek 42 cm (Giant Connect SL) — de rol moet tussen de drops passen met ruimte voor je handen op de hoods. De 6700-shifters hebben de kabels onder het stuurlint, dus geen kabels in de weg.</t>
  </si>
  <si>
    <t xml:space="preserve">• Vork: carbon, zonder bekende bevestigingsogen — geen vorktassen of cargo-cages met klemmen op carbon.</t>
  </si>
  <si>
    <t xml:space="preserve">Sleutel</t>
  </si>
  <si>
    <t xml:space="preserve">Maat</t>
  </si>
  <si>
    <t xml:space="preserve">Waarde (cm)</t>
  </si>
  <si>
    <t xml:space="preserve">Status</t>
  </si>
  <si>
    <t xml:space="preserve">Hoe meten / toelichting</t>
  </si>
  <si>
    <t xml:space="preserve">bovenbuis_vrij</t>
  </si>
  <si>
    <t xml:space="preserve">Vrije lengte onder de bovenbuis</t>
  </si>
  <si>
    <t xml:space="preserve">gemeten door eigenaar (driehoek binnen 46 / 38 / 56)</t>
  </si>
  <si>
    <t xml:space="preserve">Langs de onderkant van de bovenbuis, van waar de balhoofdbuis begint tot waar de zitbuis begint. Bepaalt de maximale lengte van een frametas.</t>
  </si>
  <si>
    <t xml:space="preserve">zitbuis_vrij</t>
  </si>
  <si>
    <t xml:space="preserve">Vrije lengte langs de zitbuis (binnen driehoek)</t>
  </si>
  <si>
    <t xml:space="preserve">gemeten door eigenaar; geen bidon op de zitbuis (wel boutgaten)</t>
  </si>
  <si>
    <t xml:space="preserve">Er zit nu geen bidonhouder op de zitbuis, dus een frametas mag zo hoog als de driehoek toelaat. De onderbuis (binnen 56 cm) heeft wel een bidon.</t>
  </si>
  <si>
    <t xml:space="preserve">zadel_band</t>
  </si>
  <si>
    <t xml:space="preserve">Ruimte zadelrails tot achterband</t>
  </si>
  <si>
    <t xml:space="preserve">nog meten</t>
  </si>
  <si>
    <t xml:space="preserve">Zadel op rijhoogte: van de zadelrails recht omlaag tot de bovenkant van de achterband. Zadeltassen noemen een minimum (bv. Topeak BackLoader ≥ 9 cm tussen tas en band).</t>
  </si>
  <si>
    <t xml:space="preserve">zadelpen_zichtbaar</t>
  </si>
  <si>
    <t xml:space="preserve">Zichtbare zadelpen</t>
  </si>
  <si>
    <t xml:space="preserve">eerder gemeten door eigenaar</t>
  </si>
  <si>
    <t xml:space="preserve">Van de zadelklem op het frame tot de onderkant van de zadelrails. Zadeltassen klemmen hier met een band om de pen (Ortlieb Seat-Pack 11 L: ca. 6 cm).</t>
  </si>
  <si>
    <t xml:space="preserve">stuur_binnen</t>
  </si>
  <si>
    <t xml:space="preserve">Stuur binnenmaat (tussen de drops)</t>
  </si>
  <si>
    <t xml:space="preserve">gemeten door eigenaar</t>
  </si>
  <si>
    <t xml:space="preserve">Een stuurrol of -tas moet hier tussen passen. (Fabrieksmaat van het stuur: Giant Connect SL 42 cm hart op hart.)</t>
  </si>
  <si>
    <t xml:space="preserve">stuur_breed</t>
  </si>
  <si>
    <t xml:space="preserve">Stuurbreedte (hart op hart, bovenkant)</t>
  </si>
  <si>
    <t xml:space="preserve">fabriek (Giant Connect SL 42 cm), niet nagemeten</t>
  </si>
  <si>
    <t xml:space="preserve">Een stuurrol moet tussen de drops passen en je handen op de hoods vrij laten.</t>
  </si>
  <si>
    <t xml:space="preserve">stuur_band</t>
  </si>
  <si>
    <t xml:space="preserve">Ruimte onderkant stuur tot voorband</t>
  </si>
  <si>
    <t xml:space="preserve">Hoe dik een stuurrol mag zijn zonder op de band te komen als hij doorzakt.</t>
  </si>
  <si>
    <t xml:space="preserve">Vul alleen kolom C in (gele cellen). De sleutel in kolom A koppelt de maat aan kolom 'Vergelijk met' in 'Uitrusting'.</t>
  </si>
  <si>
    <t xml:space="preserve">Plek</t>
  </si>
  <si>
    <t xml:space="preserve">Product</t>
  </si>
  <si>
    <t xml:space="preserve">Inhoud (L)</t>
  </si>
  <si>
    <t xml:space="preserve">Afmetingen (cm)</t>
  </si>
  <si>
    <t xml:space="preserve">Gewicht (g)</t>
  </si>
  <si>
    <t xml:space="preserve">Prijs (€)</t>
  </si>
  <si>
    <t xml:space="preserve">g per liter</t>
  </si>
  <si>
    <t xml:space="preserve">€ per liter</t>
  </si>
  <si>
    <t xml:space="preserve">Bevestiging</t>
  </si>
  <si>
    <t xml:space="preserve">Eis (cm)</t>
  </si>
  <si>
    <t xml:space="preserve">Vergelijk met</t>
  </si>
  <si>
    <t xml:space="preserve">Past?</t>
  </si>
  <si>
    <t xml:space="preserve">Zonder meting</t>
  </si>
  <si>
    <t xml:space="preserve">Let op</t>
  </si>
  <si>
    <t xml:space="preserve">Prijs gezien bij</t>
  </si>
  <si>
    <t xml:space="preserve">Bron</t>
  </si>
  <si>
    <t xml:space="preserve">Kies (x)</t>
  </si>
  <si>
    <t xml:space="preserve">Frame</t>
  </si>
  <si>
    <t xml:space="preserve">Decathlon Riverside/Rockrider ADVT 900 half-frame tas 3 L, IPX6, maat M/L/XL</t>
  </si>
  <si>
    <t xml:space="preserve">47 × 12 × 7</t>
  </si>
  <si>
    <t xml:space="preserve">klittenband om bovenbuis</t>
  </si>
  <si>
    <t xml:space="preserve">waarschijnlijk (47 cm is aan de lange kant)</t>
  </si>
  <si>
    <t xml:space="preserve">Lichtste frametas in de lijst; waterdicht (IPX6). 47 cm is 1 cm langer dan de gemeten 46 cm; met klittenband soms toch te passen, maar niet zeker.</t>
  </si>
  <si>
    <t xml:space="preserve">decathlon.ie, 10-10-2026</t>
  </si>
  <si>
    <t xml:space="preserve">https://www.decathlon.ie/p/324046-161051-bikepacking-half-frame-waterproof-frame-bag-ipx6-size-m-l-xl.html</t>
  </si>
  <si>
    <t xml:space="preserve">Decathlon Riverside ADVT 900 half-frame tas 3,5 L, IPX3</t>
  </si>
  <si>
    <t xml:space="preserve">afmetingen niet gevonden — nakijken</t>
  </si>
  <si>
    <t xml:space="preserve">Goedkoper dan de IPX6, maar alleen spatwaterdicht (IPX3). Gewicht en maten niet gevonden.</t>
  </si>
  <si>
    <t xml:space="preserve">decathlon.nl (volgens zoekresultaat), 10-10-2026</t>
  </si>
  <si>
    <t xml:space="preserve">https://www.decathlon.nl/sporten/fietsen/frametas</t>
  </si>
  <si>
    <t xml:space="preserve">Topeak MidLoader 3 L</t>
  </si>
  <si>
    <t xml:space="preserve">37,5 × 12 × 6</t>
  </si>
  <si>
    <t xml:space="preserve">klittenband</t>
  </si>
  <si>
    <t xml:space="preserve">past</t>
  </si>
  <si>
    <t xml:space="preserve">Gewicht 169 g volgens Topeak (zwart); een verkoper noemt 277 g. Prijs in euro niet gevonden.</t>
  </si>
  <si>
    <t xml:space="preserve">https://www.biketart.com/products/topeak-midloader</t>
  </si>
  <si>
    <t xml:space="preserve">Topeak MidLoader 4,5 L</t>
  </si>
  <si>
    <t xml:space="preserve">46 × 12 × 6</t>
  </si>
  <si>
    <t xml:space="preserve">waarschijnlijk</t>
  </si>
  <si>
    <t xml:space="preserve">Gewicht 195 g volgens Topeak; een verkoper noemt 292 g. Bidon op de zitbuis wordt lastiger te pakken.</t>
  </si>
  <si>
    <t xml:space="preserve">https://www.cyclable.com/16051-sacoche-de-cadre-topeak-midloader-3-a-6l.html</t>
  </si>
  <si>
    <t xml:space="preserve">Topeak MidLoader 6 L</t>
  </si>
  <si>
    <t xml:space="preserve">54,5 × 13,5 × 6</t>
  </si>
  <si>
    <t xml:space="preserve">waarschijnlijk te lang</t>
  </si>
  <si>
    <t xml:space="preserve">Langer dan de geschatte vrije ruimte.</t>
  </si>
  <si>
    <t xml:space="preserve">Apidura Racing Frame Pack 2,4 L</t>
  </si>
  <si>
    <t xml:space="preserve">29 lang, hoog 14→5, breed 6</t>
  </si>
  <si>
    <t xml:space="preserve">Taps profiel, past goed in de spits toelopende driehoek. Apidura heeft een afdruksjabloon. Gewicht en europrijs niet gevonden.</t>
  </si>
  <si>
    <t xml:space="preserve">https://www.topgearcycles.co.nz/products/apidura-racing-frame-pack</t>
  </si>
  <si>
    <t xml:space="preserve">Apidura Racing Frame Pack 4 L</t>
  </si>
  <si>
    <t xml:space="preserve">42 lang, hoog 15→5, breed 6</t>
  </si>
  <si>
    <t xml:space="preserve">Taps profiel; afdruksjabloon beschikbaar. Gewicht en europrijs niet gevonden.</t>
  </si>
  <si>
    <t xml:space="preserve">https://sigmasports.com/item/Apidura/Racing-Frame-Pack-4L/NCI1</t>
  </si>
  <si>
    <t xml:space="preserve">Ortlieb Frame-Pack RC Toptube 4 L</t>
  </si>
  <si>
    <t xml:space="preserve">50 × 13 × 6</t>
  </si>
  <si>
    <t xml:space="preserve">grensgeval — eerst meten</t>
  </si>
  <si>
    <t xml:space="preserve">Waterdicht. Max. 3 kg. Gewicht 200-220 g volgens verkopers. Europrijs niet gevonden.</t>
  </si>
  <si>
    <t xml:space="preserve">https://www.rabe-bike.de/en/ortlieb-frame-pack-4l-toptube-rc-black-matt</t>
  </si>
  <si>
    <t xml:space="preserve">Zadel</t>
  </si>
  <si>
    <t xml:space="preserve">Decathlon ADVT 900 zadeltas 6-15 L, IPX6 (alleen de tas)</t>
  </si>
  <si>
    <t xml:space="preserve">in het zadelharnas hieronder</t>
  </si>
  <si>
    <t xml:space="preserve">waarschijnlijk: 22 cm zadelpen zichtbaar (ruimte zadel-band nog meten)</t>
  </si>
  <si>
    <t xml:space="preserve">Heeft het zadelharnas (ref. 8579468) nodig; samen ca. €80. Gewicht niet gevonden.</t>
  </si>
  <si>
    <t xml:space="preserve">https://www.decathlon.ie/p/323978-126550-6-to-15l-watertight-bikepacking-saddle-bag.html</t>
  </si>
  <si>
    <t xml:space="preserve">Decathlon ADVT 900 zadelharnas (voor de 6-15 L tas)</t>
  </si>
  <si>
    <t xml:space="preserve">om zadelrails en zadelpen</t>
  </si>
  <si>
    <t xml:space="preserve">Prijs uit een review (€59,99); controleer de actuele prijs. Gewicht niet gevonden.</t>
  </si>
  <si>
    <t xml:space="preserve">review bikeradar, 10-10-2026</t>
  </si>
  <si>
    <t xml:space="preserve">https://bikeradar.com/news/decathlon-advt-900-bikepacking-bags</t>
  </si>
  <si>
    <t xml:space="preserve">Topeak BackLoader 6 L</t>
  </si>
  <si>
    <t xml:space="preserve">Topeak vraagt minstens 9 cm tussen de onderkant van de tas en de band (verpakking volgens een koper) — dat is minder dan de ruimte zadel-band die je meet, dus geen automatische vergelijking. Gewicht 335-445 g volgens verkopers. Prijs is een aanbieding (normaal €59,95).</t>
  </si>
  <si>
    <t xml:space="preserve">bikeporn (CZ), 10-10-2026</t>
  </si>
  <si>
    <t xml:space="preserve">https://bikeporn-en.wpjshop.cz/topeak-bikepacking-backloader-6l-black_z943/</t>
  </si>
  <si>
    <t xml:space="preserve">Topeak BackLoader 10 L</t>
  </si>
  <si>
    <t xml:space="preserve">Topeak vraagt minstens 9 cm tussen onderkant tas en band. Gewicht 459-480 g volgens verkopers.</t>
  </si>
  <si>
    <t xml:space="preserve">lecyclo.com (DE), 10-10-2026</t>
  </si>
  <si>
    <t xml:space="preserve">https://www.lecyclo.com/de-de/products/sacoche-de-selle-velo-bikepacking-backloader-topeak</t>
  </si>
  <si>
    <t xml:space="preserve">Ortlieb Seat-Pack 11 L</t>
  </si>
  <si>
    <t xml:space="preserve">waarschijnlijk (heeft weinig zadelpen nodig)</t>
  </si>
  <si>
    <t xml:space="preserve">Lichtste zadeltas in de lijst en volledig waterdicht. Eis = ca. 6 cm zichtbare zadelpen. Versterkt bij de rails, geschikt voor carbon pennen. Prijs is een aanbieding (normaal ~€147).</t>
  </si>
  <si>
    <t xml:space="preserve">eatsleepcycle, 10-10-2026</t>
  </si>
  <si>
    <t xml:space="preserve">https://shop.eatsleepcycle.com/products/seat-pack</t>
  </si>
  <si>
    <t xml:space="preserve">Rockbros waterdichte zadeltas 10 L</t>
  </si>
  <si>
    <t xml:space="preserve">Zwaar (≈ 790 g volgens een verkoper) voor de prijs; geen gewichtsopgave van Rockbros zelf.</t>
  </si>
  <si>
    <t xml:space="preserve">decathlon.nl (prijs); gewicht van fieldandstream, 10-10-2026</t>
  </si>
  <si>
    <t xml:space="preserve">https://shop.fieldandstream.com/products/rockbros-10l-waterproof-bike-saddle-bag-large-capacity-easy-install</t>
  </si>
  <si>
    <t xml:space="preserve">Stuur</t>
  </si>
  <si>
    <t xml:space="preserve">Decathlon ADVT 900 stuurtas (drybag) 5-15 L, IPX6</t>
  </si>
  <si>
    <t xml:space="preserve">30-60 × 13 × 13</t>
  </si>
  <si>
    <t xml:space="preserve">in het stuurharnas hieronder</t>
  </si>
  <si>
    <t xml:space="preserve">kort oprollen (≈ 30-35 cm) zodat de hoods vrij blijven</t>
  </si>
  <si>
    <t xml:space="preserve">Gewicht 195-250 g volgens verkopers. Losse drybag: kan ook met twee eigen spanbanden zonder harnas (goedkoopst en lichtst).</t>
  </si>
  <si>
    <t xml:space="preserve">https://www.decathlon.ie/p/323999-135182-watertight-handlebar-bag-5-to-15-l-bikepacking-riverside.html</t>
  </si>
  <si>
    <t xml:space="preserve">Decathlon ADVT 900 stuurharnas</t>
  </si>
  <si>
    <t xml:space="preserve">40 × 31</t>
  </si>
  <si>
    <t xml:space="preserve">om het stuur</t>
  </si>
  <si>
    <t xml:space="preserve">40 cm breed: te breed voor 37 cm tussen de drops</t>
  </si>
  <si>
    <t xml:space="preserve">Zwaar (492 g). Overweeg de drybag met twee spanbanden in plaats van dit harnas.</t>
  </si>
  <si>
    <t xml:space="preserve">https://www.decathlon.ie/p/323998-130188-bikepacking-handlebar-bag-harness-riverside.html</t>
  </si>
  <si>
    <t xml:space="preserve">Ortlieb Handlebar-Pack 9 L</t>
  </si>
  <si>
    <t xml:space="preserve">40 breed</t>
  </si>
  <si>
    <t xml:space="preserve">eigen bevestiging, ook carbon stuur</t>
  </si>
  <si>
    <t xml:space="preserve">de 9 L is de versie voor racesturen, maar 40 cm breed</t>
  </si>
  <si>
    <t xml:space="preserve">Waterdicht. UK-prijs £126 (aanbieding); europrijs niet gevonden. Duur voor wat het is.</t>
  </si>
  <si>
    <t xml:space="preserve">https://billybilslandcycles.co.uk/products/ortlieb-handlebar-pack</t>
  </si>
  <si>
    <t xml:space="preserve">Bovenbuis</t>
  </si>
  <si>
    <t xml:space="preserve">Decathlon Riverside waterdichte bovenbuistas 1 L</t>
  </si>
  <si>
    <t xml:space="preserve">klittenband (bovenbuis + balhoofd)</t>
  </si>
  <si>
    <t xml:space="preserve">past (bandjes, geen boutjes nodig)</t>
  </si>
  <si>
    <t xml:space="preserve">Prijs uit een Nederlandse review (Decathlon.nl, ook €34,99 gezien).</t>
  </si>
  <si>
    <t xml:space="preserve">kampeermeneer.nl (review), 10-10-2026</t>
  </si>
  <si>
    <t xml:space="preserve">https://www.kampeermeneer.nl/review-gemakkelijk-bijtanken-met-de-riverside-bovenbuistas/</t>
  </si>
  <si>
    <t xml:space="preserve">Topeak TopLoader 0,75 L</t>
  </si>
  <si>
    <t xml:space="preserve">23,5 × 12 × 7</t>
  </si>
  <si>
    <t xml:space="preserve">past (bandjes)</t>
  </si>
  <si>
    <t xml:space="preserve">Met regenhoes. Prijs vanaf €22,95 (adviesprijs €29,95).</t>
  </si>
  <si>
    <t xml:space="preserve">rosebikes.es, 10-10-2026</t>
  </si>
  <si>
    <t xml:space="preserve">https://www.rosebikes.es/p/topeak-toploader-bicycle-frame-bag-2653694</t>
  </si>
  <si>
    <t xml:space="preserve">Stuurpen</t>
  </si>
  <si>
    <t xml:space="preserve">Topeak FreeLoader 1 L (stuurpentas / feedbag)</t>
  </si>
  <si>
    <t xml:space="preserve">om stuur en stuurpen</t>
  </si>
  <si>
    <t xml:space="preserve">Voor bidon of snacks binnen handbereik. Plus €4,95 verzending bij Rose.</t>
  </si>
  <si>
    <t xml:space="preserve">rosebikes.com, 10-10-2026</t>
  </si>
  <si>
    <t xml:space="preserve">https://www.rosebikes.com/p/topeak-freeloader-stem-bag-2685523</t>
  </si>
  <si>
    <t xml:space="preserve">Past niet</t>
  </si>
  <si>
    <t xml:space="preserve">Zadelpendrager (bagagedrager met klem om de zadelpen)</t>
  </si>
  <si>
    <t xml:space="preserve">klem om ronde zadelpen</t>
  </si>
  <si>
    <t xml:space="preserve">past niet</t>
  </si>
  <si>
    <t xml:space="preserve">De Defy heeft een framespecifieke aero-zadelpen (Vector Composite); klemmen zijn voor ronde pennen. Klemmen op carbon is sowieso af te raden.</t>
  </si>
  <si>
    <t xml:space="preserve">Vorktassen / cargo-cages op de vork</t>
  </si>
  <si>
    <t xml:space="preserve">boutjes of klemmen op de vork</t>
  </si>
  <si>
    <t xml:space="preserve">Carbon vork zonder bekende bevestigingsogen; klemmen om een carbon vorkpoot is af te raden.</t>
  </si>
  <si>
    <t xml:space="preserve">Volle driehoektas (full frame)</t>
  </si>
  <si>
    <t xml:space="preserve">vult het hele frame</t>
  </si>
  <si>
    <t xml:space="preserve">past alleen zonder bidons</t>
  </si>
  <si>
    <t xml:space="preserve">Dan moeten de bidons ergens anders heen (stuurpentas, achter het zadel).</t>
  </si>
  <si>
    <t xml:space="preserve">Aantal gekozen</t>
  </si>
  <si>
    <t xml:space="preserve">Gekozen zonder bekend gewicht</t>
  </si>
  <si>
    <t xml:space="preserve">Gekozen zonder bekende prijs</t>
  </si>
  <si>
    <t xml:space="preserve">Totaal</t>
  </si>
  <si>
    <t xml:space="preserve">Zet in 'Uitrusting' een x in kolom Kies. Staat er bij 'zonder bekend gewicht/prijs' iets anders dan 0, dan is het totaal te laag: vul dat gewicht of die prijs zelf aan.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</si>
</sst>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.00"/>
    <numFmt numFmtId="166" formatCode="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5D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8EFD3"/>
          <bgColor rgb="FF000000"/>
        </patternFill>
      </fill>
    </dxf>
    <dxf>
      <fill>
        <patternFill patternType="solid">
          <fgColor rgb="FFF6D5D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>
          <bgColor rgb="FFD8EFD3"/>
        </patternFill>
      </fill>
    </dxf>
    <dxf>
      <fill>
        <patternFill>
          <bgColor rgb="FFF6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3"/>
      <rgbColor rgb="FFFFF2A8"/>
      <rgbColor rgb="FF99CCFF"/>
      <rgbColor rgb="FFFF99CC"/>
      <rgbColor rgb="FFCC99FF"/>
      <rgbColor rgb="FFF6D5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decathlon.ie/p/324046-161051-bikepacking-half-frame-waterproof-frame-bag-ipx6-size-m-l-xl.html" TargetMode="External"/><Relationship Id="rId3" Type="http://schemas.openxmlformats.org/officeDocument/2006/relationships/hyperlink" Target="https://www.decathlon.nl/sporten/fietsen/frametas" TargetMode="External"/><Relationship Id="rId4" Type="http://schemas.openxmlformats.org/officeDocument/2006/relationships/hyperlink" Target="https://www.biketart.com/products/topeak-midloader" TargetMode="External"/><Relationship Id="rId5" Type="http://schemas.openxmlformats.org/officeDocument/2006/relationships/hyperlink" Target="https://www.cyclable.com/16051-sacoche-de-cadre-topeak-midloader-3-a-6l.html" TargetMode="External"/><Relationship Id="rId6" Type="http://schemas.openxmlformats.org/officeDocument/2006/relationships/hyperlink" Target="https://www.biketart.com/products/topeak-midloader" TargetMode="External"/><Relationship Id="rId7" Type="http://schemas.openxmlformats.org/officeDocument/2006/relationships/hyperlink" Target="https://www.topgearcycles.co.nz/products/apidura-racing-frame-pack" TargetMode="External"/><Relationship Id="rId8" Type="http://schemas.openxmlformats.org/officeDocument/2006/relationships/hyperlink" Target="https://sigmasports.com/item/Apidura/Racing-Frame-Pack-4L/NCI1" TargetMode="External"/><Relationship Id="rId9" Type="http://schemas.openxmlformats.org/officeDocument/2006/relationships/hyperlink" Target="https://www.rabe-bike.de/en/ortlieb-frame-pack-4l-toptube-rc-black-matt" TargetMode="External"/><Relationship Id="rId10" Type="http://schemas.openxmlformats.org/officeDocument/2006/relationships/hyperlink" Target="https://www.decathlon.ie/p/323978-126550-6-to-15l-watertight-bikepacking-saddle-bag.html" TargetMode="External"/><Relationship Id="rId11" Type="http://schemas.openxmlformats.org/officeDocument/2006/relationships/hyperlink" Target="https://bikeradar.com/news/decathlon-advt-900-bikepacking-bags" TargetMode="External"/><Relationship Id="rId12" Type="http://schemas.openxmlformats.org/officeDocument/2006/relationships/hyperlink" Target="https://bikeporn-en.wpjshop.cz/topeak-bikepacking-backloader-6l-black_z943/" TargetMode="External"/><Relationship Id="rId13" Type="http://schemas.openxmlformats.org/officeDocument/2006/relationships/hyperlink" Target="https://www.lecyclo.com/de-de/products/sacoche-de-selle-velo-bikepacking-backloader-topeak" TargetMode="External"/><Relationship Id="rId14" Type="http://schemas.openxmlformats.org/officeDocument/2006/relationships/hyperlink" Target="https://shop.eatsleepcycle.com/products/seat-pack" TargetMode="External"/><Relationship Id="rId15" Type="http://schemas.openxmlformats.org/officeDocument/2006/relationships/hyperlink" Target="https://shop.fieldandstream.com/products/rockbros-10l-waterproof-bike-saddle-bag-large-capacity-easy-install" TargetMode="External"/><Relationship Id="rId16" Type="http://schemas.openxmlformats.org/officeDocument/2006/relationships/hyperlink" Target="https://www.decathlon.ie/p/323999-135182-watertight-handlebar-bag-5-to-15-l-bikepacking-riverside.html" TargetMode="External"/><Relationship Id="rId17" Type="http://schemas.openxmlformats.org/officeDocument/2006/relationships/hyperlink" Target="https://www.decathlon.ie/p/323998-130188-bikepacking-handlebar-bag-harness-riverside.html" TargetMode="External"/><Relationship Id="rId18" Type="http://schemas.openxmlformats.org/officeDocument/2006/relationships/hyperlink" Target="https://billybilslandcycles.co.uk/products/ortlieb-handlebar-pack" TargetMode="External"/><Relationship Id="rId19" Type="http://schemas.openxmlformats.org/officeDocument/2006/relationships/hyperlink" Target="https://www.kampeermeneer.nl/review-gemakkelijk-bijtanken-met-de-riverside-bovenbuistas/" TargetMode="External"/><Relationship Id="rId20" Type="http://schemas.openxmlformats.org/officeDocument/2006/relationships/hyperlink" Target="https://www.rosebikes.es/p/topeak-toploader-bicycle-frame-bag-2653694" TargetMode="External"/><Relationship Id="rId21" Type="http://schemas.openxmlformats.org/officeDocument/2006/relationships/hyperlink" Target="https://www.rosebikes.com/p/topeak-freeloader-stem-bag-2685523" TargetMode="External"/><Relationship Id="rId22" Type="http://schemas.openxmlformats.org/officeDocument/2006/relationships/drawing" Target="../drawings/drawing1.xml"/><Relationship Id="rId2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80"/>
  </cols>
  <sheetData>
    <row r="1" customFormat="false" ht="26.8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customFormat="false" ht="26.85" hidden="false" customHeight="false" outlineLevel="0" collapsed="false">
      <c r="A2" s="5" t="s">
        <v>23</v>
      </c>
      <c r="B2" s="5" t="s">
        <v>24</v>
      </c>
      <c r="C2" s="6" t="n">
        <v>46</v>
      </c>
      <c r="D2" s="5" t="s">
        <v>25</v>
      </c>
      <c r="E2" s="5" t="s">
        <v>26</v>
      </c>
    </row>
    <row r="3" customFormat="false" ht="39.55" hidden="false" customHeight="false" outlineLevel="0" collapsed="false">
      <c r="A3" s="5" t="s">
        <v>27</v>
      </c>
      <c r="B3" s="5" t="s">
        <v>28</v>
      </c>
      <c r="C3" s="6" t="n">
        <v>38</v>
      </c>
      <c r="D3" s="5" t="s">
        <v>29</v>
      </c>
      <c r="E3" s="5" t="s">
        <v>30</v>
      </c>
    </row>
    <row r="4" customFormat="false" ht="39.55" hidden="false" customHeight="false" outlineLevel="0" collapsed="false">
      <c r="A4" s="5" t="s">
        <v>31</v>
      </c>
      <c r="B4" s="5" t="s">
        <v>32</v>
      </c>
      <c r="C4" s="7"/>
      <c r="D4" s="5" t="s">
        <v>33</v>
      </c>
      <c r="E4" s="5" t="s">
        <v>34</v>
      </c>
    </row>
    <row r="5" customFormat="false" ht="26.85" hidden="false" customHeight="false" outlineLevel="0" collapsed="false">
      <c r="A5" s="5" t="s">
        <v>35</v>
      </c>
      <c r="B5" s="5" t="s">
        <v>36</v>
      </c>
      <c r="C5" s="6" t="n">
        <v>22</v>
      </c>
      <c r="D5" s="5" t="s">
        <v>37</v>
      </c>
      <c r="E5" s="5" t="s">
        <v>38</v>
      </c>
    </row>
    <row r="6" customFormat="false" ht="26.85" hidden="false" customHeight="false" outlineLevel="0" collapsed="false">
      <c r="A6" s="5" t="s">
        <v>39</v>
      </c>
      <c r="B6" s="5" t="s">
        <v>40</v>
      </c>
      <c r="C6" s="6" t="n">
        <v>37</v>
      </c>
      <c r="D6" s="5" t="s">
        <v>41</v>
      </c>
      <c r="E6" s="5" t="s">
        <v>42</v>
      </c>
    </row>
    <row r="7" customFormat="false" ht="26.85" hidden="false" customHeight="false" outlineLevel="0" collapsed="false">
      <c r="A7" s="5" t="s">
        <v>43</v>
      </c>
      <c r="B7" s="5" t="s">
        <v>44</v>
      </c>
      <c r="C7" s="6" t="n">
        <v>42</v>
      </c>
      <c r="D7" s="5" t="s">
        <v>45</v>
      </c>
      <c r="E7" s="5" t="s">
        <v>46</v>
      </c>
    </row>
    <row r="8" customFormat="false" ht="15" hidden="false" customHeight="false" outlineLevel="0" collapsed="false">
      <c r="A8" s="5" t="s">
        <v>47</v>
      </c>
      <c r="B8" s="5" t="s">
        <v>48</v>
      </c>
      <c r="C8" s="7"/>
      <c r="D8" s="5" t="s">
        <v>33</v>
      </c>
      <c r="E8" s="5" t="s">
        <v>49</v>
      </c>
    </row>
    <row r="10" customFormat="false" ht="15" hidden="false" customHeight="false" outlineLevel="0" collapsed="false">
      <c r="A10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8" min="7" style="0" width="9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17"/>
    <col collapsed="false" customWidth="true" hidden="false" outlineLevel="0" max="13" min="12" style="0" width="26"/>
    <col collapsed="false" customWidth="true" hidden="false" outlineLevel="0" max="14" min="14" style="0" width="50"/>
    <col collapsed="false" customWidth="true" hidden="false" outlineLevel="0" max="15" min="15" style="0" width="22"/>
    <col collapsed="false" customWidth="true" hidden="false" outlineLevel="0" max="16" min="16" style="0" width="30"/>
    <col collapsed="false" customWidth="true" hidden="false" outlineLevel="0" max="17" min="17" style="0" width="8"/>
  </cols>
  <sheetData>
    <row r="1" customFormat="false" ht="26.85" hidden="false" customHeight="false" outlineLevel="0" collapsed="false">
      <c r="A1" s="9" t="s">
        <v>51</v>
      </c>
      <c r="B1" s="9" t="s">
        <v>52</v>
      </c>
      <c r="C1" s="9" t="s">
        <v>53</v>
      </c>
      <c r="D1" s="9" t="s">
        <v>54</v>
      </c>
      <c r="E1" s="9" t="s">
        <v>55</v>
      </c>
      <c r="F1" s="9" t="s">
        <v>56</v>
      </c>
      <c r="G1" s="9" t="s">
        <v>57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66</v>
      </c>
      <c r="Q1" s="9" t="s">
        <v>67</v>
      </c>
    </row>
    <row r="2" customFormat="false" ht="39.55" hidden="false" customHeight="false" outlineLevel="0" collapsed="false">
      <c r="A2" s="5" t="s">
        <v>68</v>
      </c>
      <c r="B2" s="5" t="s">
        <v>69</v>
      </c>
      <c r="C2" s="10" t="n">
        <v>3</v>
      </c>
      <c r="D2" s="5" t="s">
        <v>70</v>
      </c>
      <c r="E2" s="10" t="n">
        <v>150</v>
      </c>
      <c r="F2" s="11" t="n">
        <v>75</v>
      </c>
      <c r="G2" s="12" t="n">
        <f aca="false">IF(AND(ISNUMBER(C2),ISNUMBER(E2),C2&gt;0),E2/C2,"")</f>
        <v>50</v>
      </c>
      <c r="H2" s="13" t="n">
        <f aca="false">IF(AND(ISNUMBER(C2),ISNUMBER(F2),C2&gt;0),F2/C2,"")</f>
        <v>25</v>
      </c>
      <c r="I2" s="5" t="s">
        <v>71</v>
      </c>
      <c r="J2" s="10" t="n">
        <v>47</v>
      </c>
      <c r="K2" s="5" t="s">
        <v>23</v>
      </c>
      <c r="L2" s="5" t="str">
        <f aca="false">IF(OR(J2="",K2=""),M2,IFERROR(IF(INDEX('Mijn fiets'!$C:$C,MATCH(K2,'Mijn fiets'!$A:$A,0))="","nog meten: "&amp;M2,IF(J2&lt;=INDEX('Mijn fiets'!$C:$C,MATCH(K2,'Mijn fiets'!$A:$A,0)),"past","past niet")),M2))</f>
        <v>past niet</v>
      </c>
      <c r="M2" s="5" t="s">
        <v>72</v>
      </c>
      <c r="N2" s="5" t="s">
        <v>73</v>
      </c>
      <c r="O2" s="5" t="s">
        <v>74</v>
      </c>
      <c r="P2" s="14" t="s">
        <v>75</v>
      </c>
      <c r="Q2" s="7"/>
    </row>
    <row r="3" customFormat="false" ht="39.55" hidden="false" customHeight="false" outlineLevel="0" collapsed="false">
      <c r="A3" s="5" t="s">
        <v>68</v>
      </c>
      <c r="B3" s="5" t="s">
        <v>76</v>
      </c>
      <c r="C3" s="10" t="n">
        <v>3.5</v>
      </c>
      <c r="D3" s="5"/>
      <c r="E3" s="5"/>
      <c r="F3" s="11" t="n">
        <v>49.99</v>
      </c>
      <c r="G3" s="12" t="str">
        <f aca="false">IF(AND(ISNUMBER(C3),ISNUMBER(E3),C3&gt;0),E3/C3,"")</f>
        <v/>
      </c>
      <c r="H3" s="13" t="n">
        <f aca="false">IF(AND(ISNUMBER(C3),ISNUMBER(F3),C3&gt;0),F3/C3,"")</f>
        <v>14.2828571428571</v>
      </c>
      <c r="I3" s="5" t="s">
        <v>71</v>
      </c>
      <c r="J3" s="5"/>
      <c r="K3" s="5"/>
      <c r="L3" s="5" t="str">
        <f aca="false">IF(OR(J3="",K3=""),M3,IFERROR(IF(INDEX('Mijn fiets'!$C:$C,MATCH(K3,'Mijn fiets'!$A:$A,0))="","nog meten: "&amp;M3,IF(J3&lt;=INDEX('Mijn fiets'!$C:$C,MATCH(K3,'Mijn fiets'!$A:$A,0)),"past","past niet")),M3))</f>
        <v>afmetingen niet gevonden — nakijken</v>
      </c>
      <c r="M3" s="5" t="s">
        <v>77</v>
      </c>
      <c r="N3" s="5" t="s">
        <v>78</v>
      </c>
      <c r="O3" s="5" t="s">
        <v>79</v>
      </c>
      <c r="P3" s="14" t="s">
        <v>80</v>
      </c>
      <c r="Q3" s="7"/>
    </row>
    <row r="4" customFormat="false" ht="26.85" hidden="false" customHeight="false" outlineLevel="0" collapsed="false">
      <c r="A4" s="5" t="s">
        <v>68</v>
      </c>
      <c r="B4" s="5" t="s">
        <v>81</v>
      </c>
      <c r="C4" s="10" t="n">
        <v>3</v>
      </c>
      <c r="D4" s="5" t="s">
        <v>82</v>
      </c>
      <c r="E4" s="10" t="n">
        <v>169</v>
      </c>
      <c r="F4" s="13"/>
      <c r="G4" s="12" t="n">
        <f aca="false">IF(AND(ISNUMBER(C4),ISNUMBER(E4),C4&gt;0),E4/C4,"")</f>
        <v>56.3333333333333</v>
      </c>
      <c r="H4" s="13" t="str">
        <f aca="false">IF(AND(ISNUMBER(C4),ISNUMBER(F4),C4&gt;0),F4/C4,"")</f>
        <v/>
      </c>
      <c r="I4" s="5" t="s">
        <v>83</v>
      </c>
      <c r="J4" s="10" t="n">
        <v>37.5</v>
      </c>
      <c r="K4" s="5" t="s">
        <v>23</v>
      </c>
      <c r="L4" s="5" t="str">
        <f aca="false">IF(OR(J4="",K4=""),M4,IFERROR(IF(INDEX('Mijn fiets'!$C:$C,MATCH(K4,'Mijn fiets'!$A:$A,0))="","nog meten: "&amp;M4,IF(J4&lt;=INDEX('Mijn fiets'!$C:$C,MATCH(K4,'Mijn fiets'!$A:$A,0)),"past","past niet")),M4))</f>
        <v>past</v>
      </c>
      <c r="M4" s="5" t="s">
        <v>84</v>
      </c>
      <c r="N4" s="5" t="s">
        <v>85</v>
      </c>
      <c r="O4" s="5"/>
      <c r="P4" s="14" t="s">
        <v>86</v>
      </c>
      <c r="Q4" s="7"/>
    </row>
    <row r="5" customFormat="false" ht="26.85" hidden="false" customHeight="false" outlineLevel="0" collapsed="false">
      <c r="A5" s="5" t="s">
        <v>68</v>
      </c>
      <c r="B5" s="5" t="s">
        <v>87</v>
      </c>
      <c r="C5" s="10" t="n">
        <v>4.5</v>
      </c>
      <c r="D5" s="5" t="s">
        <v>88</v>
      </c>
      <c r="E5" s="10" t="n">
        <v>195</v>
      </c>
      <c r="F5" s="13"/>
      <c r="G5" s="12" t="n">
        <f aca="false">IF(AND(ISNUMBER(C5),ISNUMBER(E5),C5&gt;0),E5/C5,"")</f>
        <v>43.3333333333333</v>
      </c>
      <c r="H5" s="13" t="str">
        <f aca="false">IF(AND(ISNUMBER(C5),ISNUMBER(F5),C5&gt;0),F5/C5,"")</f>
        <v/>
      </c>
      <c r="I5" s="5" t="s">
        <v>83</v>
      </c>
      <c r="J5" s="10" t="n">
        <v>46</v>
      </c>
      <c r="K5" s="5" t="s">
        <v>23</v>
      </c>
      <c r="L5" s="5" t="str">
        <f aca="false">IF(OR(J5="",K5=""),M5,IFERROR(IF(INDEX('Mijn fiets'!$C:$C,MATCH(K5,'Mijn fiets'!$A:$A,0))="","nog meten: "&amp;M5,IF(J5&lt;=INDEX('Mijn fiets'!$C:$C,MATCH(K5,'Mijn fiets'!$A:$A,0)),"past","past niet")),M5))</f>
        <v>past</v>
      </c>
      <c r="M5" s="5" t="s">
        <v>89</v>
      </c>
      <c r="N5" s="5" t="s">
        <v>90</v>
      </c>
      <c r="O5" s="5"/>
      <c r="P5" s="14" t="s">
        <v>91</v>
      </c>
      <c r="Q5" s="7"/>
    </row>
    <row r="6" customFormat="false" ht="15" hidden="false" customHeight="false" outlineLevel="0" collapsed="false">
      <c r="A6" s="5" t="s">
        <v>68</v>
      </c>
      <c r="B6" s="5" t="s">
        <v>92</v>
      </c>
      <c r="C6" s="10" t="n">
        <v>6</v>
      </c>
      <c r="D6" s="5" t="s">
        <v>93</v>
      </c>
      <c r="E6" s="10" t="n">
        <v>337</v>
      </c>
      <c r="F6" s="13"/>
      <c r="G6" s="12" t="n">
        <f aca="false">IF(AND(ISNUMBER(C6),ISNUMBER(E6),C6&gt;0),E6/C6,"")</f>
        <v>56.1666666666667</v>
      </c>
      <c r="H6" s="13" t="str">
        <f aca="false">IF(AND(ISNUMBER(C6),ISNUMBER(F6),C6&gt;0),F6/C6,"")</f>
        <v/>
      </c>
      <c r="I6" s="5" t="s">
        <v>83</v>
      </c>
      <c r="J6" s="10" t="n">
        <v>54.5</v>
      </c>
      <c r="K6" s="5" t="s">
        <v>23</v>
      </c>
      <c r="L6" s="5" t="str">
        <f aca="false">IF(OR(J6="",K6=""),M6,IFERROR(IF(INDEX('Mijn fiets'!$C:$C,MATCH(K6,'Mijn fiets'!$A:$A,0))="","nog meten: "&amp;M6,IF(J6&lt;=INDEX('Mijn fiets'!$C:$C,MATCH(K6,'Mijn fiets'!$A:$A,0)),"past","past niet")),M6))</f>
        <v>past niet</v>
      </c>
      <c r="M6" s="5" t="s">
        <v>94</v>
      </c>
      <c r="N6" s="5" t="s">
        <v>95</v>
      </c>
      <c r="O6" s="5"/>
      <c r="P6" s="14" t="s">
        <v>86</v>
      </c>
      <c r="Q6" s="7"/>
    </row>
    <row r="7" customFormat="false" ht="39.55" hidden="false" customHeight="false" outlineLevel="0" collapsed="false">
      <c r="A7" s="5" t="s">
        <v>68</v>
      </c>
      <c r="B7" s="5" t="s">
        <v>96</v>
      </c>
      <c r="C7" s="10" t="n">
        <v>2.4</v>
      </c>
      <c r="D7" s="5" t="s">
        <v>97</v>
      </c>
      <c r="E7" s="5"/>
      <c r="F7" s="13"/>
      <c r="G7" s="12" t="str">
        <f aca="false">IF(AND(ISNUMBER(C7),ISNUMBER(E7),C7&gt;0),E7/C7,"")</f>
        <v/>
      </c>
      <c r="H7" s="13" t="str">
        <f aca="false">IF(AND(ISNUMBER(C7),ISNUMBER(F7),C7&gt;0),F7/C7,"")</f>
        <v/>
      </c>
      <c r="I7" s="5" t="s">
        <v>83</v>
      </c>
      <c r="J7" s="10" t="n">
        <v>29</v>
      </c>
      <c r="K7" s="5" t="s">
        <v>23</v>
      </c>
      <c r="L7" s="5" t="str">
        <f aca="false">IF(OR(J7="",K7=""),M7,IFERROR(IF(INDEX('Mijn fiets'!$C:$C,MATCH(K7,'Mijn fiets'!$A:$A,0))="","nog meten: "&amp;M7,IF(J7&lt;=INDEX('Mijn fiets'!$C:$C,MATCH(K7,'Mijn fiets'!$A:$A,0)),"past","past niet")),M7))</f>
        <v>past</v>
      </c>
      <c r="M7" s="5" t="s">
        <v>84</v>
      </c>
      <c r="N7" s="5" t="s">
        <v>98</v>
      </c>
      <c r="O7" s="5"/>
      <c r="P7" s="14" t="s">
        <v>99</v>
      </c>
      <c r="Q7" s="7"/>
    </row>
    <row r="8" customFormat="false" ht="26.85" hidden="false" customHeight="false" outlineLevel="0" collapsed="false">
      <c r="A8" s="5" t="s">
        <v>68</v>
      </c>
      <c r="B8" s="5" t="s">
        <v>100</v>
      </c>
      <c r="C8" s="10" t="n">
        <v>4</v>
      </c>
      <c r="D8" s="5" t="s">
        <v>101</v>
      </c>
      <c r="E8" s="5"/>
      <c r="F8" s="13"/>
      <c r="G8" s="12" t="str">
        <f aca="false">IF(AND(ISNUMBER(C8),ISNUMBER(E8),C8&gt;0),E8/C8,"")</f>
        <v/>
      </c>
      <c r="H8" s="13" t="str">
        <f aca="false">IF(AND(ISNUMBER(C8),ISNUMBER(F8),C8&gt;0),F8/C8,"")</f>
        <v/>
      </c>
      <c r="I8" s="5" t="s">
        <v>83</v>
      </c>
      <c r="J8" s="10" t="n">
        <v>42</v>
      </c>
      <c r="K8" s="5" t="s">
        <v>23</v>
      </c>
      <c r="L8" s="5" t="str">
        <f aca="false">IF(OR(J8="",K8=""),M8,IFERROR(IF(INDEX('Mijn fiets'!$C:$C,MATCH(K8,'Mijn fiets'!$A:$A,0))="","nog meten: "&amp;M8,IF(J8&lt;=INDEX('Mijn fiets'!$C:$C,MATCH(K8,'Mijn fiets'!$A:$A,0)),"past","past niet")),M8))</f>
        <v>past</v>
      </c>
      <c r="M8" s="5" t="s">
        <v>89</v>
      </c>
      <c r="N8" s="5" t="s">
        <v>102</v>
      </c>
      <c r="O8" s="5"/>
      <c r="P8" s="14" t="s">
        <v>103</v>
      </c>
      <c r="Q8" s="7"/>
    </row>
    <row r="9" customFormat="false" ht="26.85" hidden="false" customHeight="false" outlineLevel="0" collapsed="false">
      <c r="A9" s="5" t="s">
        <v>68</v>
      </c>
      <c r="B9" s="5" t="s">
        <v>104</v>
      </c>
      <c r="C9" s="10" t="n">
        <v>4</v>
      </c>
      <c r="D9" s="5" t="s">
        <v>105</v>
      </c>
      <c r="E9" s="10" t="n">
        <v>200</v>
      </c>
      <c r="F9" s="13"/>
      <c r="G9" s="12" t="n">
        <f aca="false">IF(AND(ISNUMBER(C9),ISNUMBER(E9),C9&gt;0),E9/C9,"")</f>
        <v>50</v>
      </c>
      <c r="H9" s="13" t="str">
        <f aca="false">IF(AND(ISNUMBER(C9),ISNUMBER(F9),C9&gt;0),F9/C9,"")</f>
        <v/>
      </c>
      <c r="I9" s="5" t="s">
        <v>83</v>
      </c>
      <c r="J9" s="10" t="n">
        <v>50</v>
      </c>
      <c r="K9" s="5" t="s">
        <v>23</v>
      </c>
      <c r="L9" s="5" t="str">
        <f aca="false">IF(OR(J9="",K9=""),M9,IFERROR(IF(INDEX('Mijn fiets'!$C:$C,MATCH(K9,'Mijn fiets'!$A:$A,0))="","nog meten: "&amp;M9,IF(J9&lt;=INDEX('Mijn fiets'!$C:$C,MATCH(K9,'Mijn fiets'!$A:$A,0)),"past","past niet")),M9))</f>
        <v>past niet</v>
      </c>
      <c r="M9" s="5" t="s">
        <v>106</v>
      </c>
      <c r="N9" s="5" t="s">
        <v>107</v>
      </c>
      <c r="O9" s="5"/>
      <c r="P9" s="14" t="s">
        <v>108</v>
      </c>
      <c r="Q9" s="7"/>
    </row>
    <row r="10" customFormat="false" ht="39.55" hidden="false" customHeight="false" outlineLevel="0" collapsed="false">
      <c r="A10" s="5" t="s">
        <v>109</v>
      </c>
      <c r="B10" s="5" t="s">
        <v>110</v>
      </c>
      <c r="C10" s="10" t="n">
        <v>15</v>
      </c>
      <c r="D10" s="5"/>
      <c r="E10" s="5"/>
      <c r="F10" s="11" t="n">
        <v>21</v>
      </c>
      <c r="G10" s="12" t="str">
        <f aca="false">IF(AND(ISNUMBER(C10),ISNUMBER(E10),C10&gt;0),E10/C10,"")</f>
        <v/>
      </c>
      <c r="H10" s="13" t="n">
        <f aca="false">IF(AND(ISNUMBER(C10),ISNUMBER(F10),C10&gt;0),F10/C10,"")</f>
        <v>1.4</v>
      </c>
      <c r="I10" s="5" t="s">
        <v>111</v>
      </c>
      <c r="J10" s="5"/>
      <c r="K10" s="5" t="s">
        <v>31</v>
      </c>
      <c r="L10" s="5" t="str">
        <f aca="false">IF(OR(J10="",K10=""),M10,IFERROR(IF(INDEX('Mijn fiets'!$C:$C,MATCH(K10,'Mijn fiets'!$A:$A,0))="","nog meten: "&amp;M10,IF(J10&lt;=INDEX('Mijn fiets'!$C:$C,MATCH(K10,'Mijn fiets'!$A:$A,0)),"past","past niet")),M10))</f>
        <v>waarschijnlijk: 22 cm zadelpen zichtbaar (ruimte zadel-band nog meten)</v>
      </c>
      <c r="M10" s="5" t="s">
        <v>112</v>
      </c>
      <c r="N10" s="5" t="s">
        <v>113</v>
      </c>
      <c r="O10" s="5" t="s">
        <v>74</v>
      </c>
      <c r="P10" s="14" t="s">
        <v>114</v>
      </c>
      <c r="Q10" s="7"/>
    </row>
    <row r="11" customFormat="false" ht="39.55" hidden="false" customHeight="false" outlineLevel="0" collapsed="false">
      <c r="A11" s="5" t="s">
        <v>109</v>
      </c>
      <c r="B11" s="5" t="s">
        <v>115</v>
      </c>
      <c r="C11" s="5"/>
      <c r="D11" s="5"/>
      <c r="E11" s="5"/>
      <c r="F11" s="11" t="n">
        <v>59.99</v>
      </c>
      <c r="G11" s="12" t="str">
        <f aca="false">IF(AND(ISNUMBER(C11),ISNUMBER(E11),C11&gt;0),E11/C11,"")</f>
        <v/>
      </c>
      <c r="H11" s="13" t="str">
        <f aca="false">IF(AND(ISNUMBER(C11),ISNUMBER(F11),C11&gt;0),F11/C11,"")</f>
        <v/>
      </c>
      <c r="I11" s="5" t="s">
        <v>116</v>
      </c>
      <c r="J11" s="5"/>
      <c r="K11" s="5" t="s">
        <v>31</v>
      </c>
      <c r="L11" s="5" t="str">
        <f aca="false">IF(OR(J11="",K11=""),M11,IFERROR(IF(INDEX('Mijn fiets'!$C:$C,MATCH(K11,'Mijn fiets'!$A:$A,0))="","nog meten: "&amp;M11,IF(J11&lt;=INDEX('Mijn fiets'!$C:$C,MATCH(K11,'Mijn fiets'!$A:$A,0)),"past","past niet")),M11))</f>
        <v>waarschijnlijk: 22 cm zadelpen zichtbaar (ruimte zadel-band nog meten)</v>
      </c>
      <c r="M11" s="5" t="s">
        <v>112</v>
      </c>
      <c r="N11" s="5" t="s">
        <v>117</v>
      </c>
      <c r="O11" s="5" t="s">
        <v>118</v>
      </c>
      <c r="P11" s="14" t="s">
        <v>119</v>
      </c>
      <c r="Q11" s="7"/>
    </row>
    <row r="12" customFormat="false" ht="77.6" hidden="false" customHeight="false" outlineLevel="0" collapsed="false">
      <c r="A12" s="5" t="s">
        <v>109</v>
      </c>
      <c r="B12" s="5" t="s">
        <v>120</v>
      </c>
      <c r="C12" s="10" t="n">
        <v>6</v>
      </c>
      <c r="D12" s="5"/>
      <c r="E12" s="10" t="n">
        <v>445</v>
      </c>
      <c r="F12" s="11" t="n">
        <v>47.96</v>
      </c>
      <c r="G12" s="12" t="n">
        <f aca="false">IF(AND(ISNUMBER(C12),ISNUMBER(E12),C12&gt;0),E12/C12,"")</f>
        <v>74.1666666666667</v>
      </c>
      <c r="H12" s="13" t="n">
        <f aca="false">IF(AND(ISNUMBER(C12),ISNUMBER(F12),C12&gt;0),F12/C12,"")</f>
        <v>7.99333333333333</v>
      </c>
      <c r="I12" s="5" t="s">
        <v>116</v>
      </c>
      <c r="J12" s="5"/>
      <c r="K12" s="5" t="s">
        <v>31</v>
      </c>
      <c r="L12" s="5" t="str">
        <f aca="false">IF(OR(J12="",K12=""),M12,IFERROR(IF(INDEX('Mijn fiets'!$C:$C,MATCH(K12,'Mijn fiets'!$A:$A,0))="","nog meten: "&amp;M12,IF(J12&lt;=INDEX('Mijn fiets'!$C:$C,MATCH(K12,'Mijn fiets'!$A:$A,0)),"past","past niet")),M12))</f>
        <v>waarschijnlijk: 22 cm zadelpen zichtbaar (ruimte zadel-band nog meten)</v>
      </c>
      <c r="M12" s="5" t="s">
        <v>112</v>
      </c>
      <c r="N12" s="5" t="s">
        <v>121</v>
      </c>
      <c r="O12" s="5" t="s">
        <v>122</v>
      </c>
      <c r="P12" s="14" t="s">
        <v>123</v>
      </c>
      <c r="Q12" s="7"/>
    </row>
    <row r="13" customFormat="false" ht="39.55" hidden="false" customHeight="false" outlineLevel="0" collapsed="false">
      <c r="A13" s="5" t="s">
        <v>109</v>
      </c>
      <c r="B13" s="5" t="s">
        <v>124</v>
      </c>
      <c r="C13" s="10" t="n">
        <v>10</v>
      </c>
      <c r="D13" s="5"/>
      <c r="E13" s="10" t="n">
        <v>480</v>
      </c>
      <c r="F13" s="11" t="n">
        <v>54.9</v>
      </c>
      <c r="G13" s="12" t="n">
        <f aca="false">IF(AND(ISNUMBER(C13),ISNUMBER(E13),C13&gt;0),E13/C13,"")</f>
        <v>48</v>
      </c>
      <c r="H13" s="13" t="n">
        <f aca="false">IF(AND(ISNUMBER(C13),ISNUMBER(F13),C13&gt;0),F13/C13,"")</f>
        <v>5.49</v>
      </c>
      <c r="I13" s="5" t="s">
        <v>116</v>
      </c>
      <c r="J13" s="5"/>
      <c r="K13" s="5" t="s">
        <v>31</v>
      </c>
      <c r="L13" s="5" t="str">
        <f aca="false">IF(OR(J13="",K13=""),M13,IFERROR(IF(INDEX('Mijn fiets'!$C:$C,MATCH(K13,'Mijn fiets'!$A:$A,0))="","nog meten: "&amp;M13,IF(J13&lt;=INDEX('Mijn fiets'!$C:$C,MATCH(K13,'Mijn fiets'!$A:$A,0)),"past","past niet")),M13))</f>
        <v>waarschijnlijk: 22 cm zadelpen zichtbaar (ruimte zadel-band nog meten)</v>
      </c>
      <c r="M13" s="5" t="s">
        <v>112</v>
      </c>
      <c r="N13" s="5" t="s">
        <v>125</v>
      </c>
      <c r="O13" s="5" t="s">
        <v>126</v>
      </c>
      <c r="P13" s="14" t="s">
        <v>127</v>
      </c>
      <c r="Q13" s="7"/>
    </row>
    <row r="14" customFormat="false" ht="52.2" hidden="false" customHeight="false" outlineLevel="0" collapsed="false">
      <c r="A14" s="5" t="s">
        <v>109</v>
      </c>
      <c r="B14" s="5" t="s">
        <v>128</v>
      </c>
      <c r="C14" s="10" t="n">
        <v>11</v>
      </c>
      <c r="D14" s="5"/>
      <c r="E14" s="10" t="n">
        <v>345</v>
      </c>
      <c r="F14" s="11" t="n">
        <v>99</v>
      </c>
      <c r="G14" s="12" t="n">
        <f aca="false">IF(AND(ISNUMBER(C14),ISNUMBER(E14),C14&gt;0),E14/C14,"")</f>
        <v>31.3636363636364</v>
      </c>
      <c r="H14" s="13" t="n">
        <f aca="false">IF(AND(ISNUMBER(C14),ISNUMBER(F14),C14&gt;0),F14/C14,"")</f>
        <v>9</v>
      </c>
      <c r="I14" s="5" t="s">
        <v>116</v>
      </c>
      <c r="J14" s="10" t="n">
        <v>6</v>
      </c>
      <c r="K14" s="5" t="s">
        <v>35</v>
      </c>
      <c r="L14" s="5" t="str">
        <f aca="false">IF(OR(J14="",K14=""),M14,IFERROR(IF(INDEX('Mijn fiets'!$C:$C,MATCH(K14,'Mijn fiets'!$A:$A,0))="","nog meten: "&amp;M14,IF(J14&lt;=INDEX('Mijn fiets'!$C:$C,MATCH(K14,'Mijn fiets'!$A:$A,0)),"past","past niet")),M14))</f>
        <v>past</v>
      </c>
      <c r="M14" s="5" t="s">
        <v>129</v>
      </c>
      <c r="N14" s="5" t="s">
        <v>130</v>
      </c>
      <c r="O14" s="5" t="s">
        <v>131</v>
      </c>
      <c r="P14" s="14" t="s">
        <v>132</v>
      </c>
      <c r="Q14" s="7"/>
    </row>
    <row r="15" customFormat="false" ht="52.2" hidden="false" customHeight="false" outlineLevel="0" collapsed="false">
      <c r="A15" s="5" t="s">
        <v>109</v>
      </c>
      <c r="B15" s="5" t="s">
        <v>133</v>
      </c>
      <c r="C15" s="10" t="n">
        <v>10</v>
      </c>
      <c r="D15" s="5"/>
      <c r="E15" s="10" t="n">
        <v>790</v>
      </c>
      <c r="F15" s="11" t="n">
        <v>56.99</v>
      </c>
      <c r="G15" s="12" t="n">
        <f aca="false">IF(AND(ISNUMBER(C15),ISNUMBER(E15),C15&gt;0),E15/C15,"")</f>
        <v>79</v>
      </c>
      <c r="H15" s="13" t="n">
        <f aca="false">IF(AND(ISNUMBER(C15),ISNUMBER(F15),C15&gt;0),F15/C15,"")</f>
        <v>5.699</v>
      </c>
      <c r="I15" s="5" t="s">
        <v>116</v>
      </c>
      <c r="J15" s="5"/>
      <c r="K15" s="5" t="s">
        <v>31</v>
      </c>
      <c r="L15" s="5" t="str">
        <f aca="false">IF(OR(J15="",K15=""),M15,IFERROR(IF(INDEX('Mijn fiets'!$C:$C,MATCH(K15,'Mijn fiets'!$A:$A,0))="","nog meten: "&amp;M15,IF(J15&lt;=INDEX('Mijn fiets'!$C:$C,MATCH(K15,'Mijn fiets'!$A:$A,0)),"past","past niet")),M15))</f>
        <v>waarschijnlijk: 22 cm zadelpen zichtbaar (ruimte zadel-band nog meten)</v>
      </c>
      <c r="M15" s="5" t="s">
        <v>112</v>
      </c>
      <c r="N15" s="5" t="s">
        <v>134</v>
      </c>
      <c r="O15" s="5" t="s">
        <v>135</v>
      </c>
      <c r="P15" s="14" t="s">
        <v>136</v>
      </c>
      <c r="Q15" s="7"/>
    </row>
    <row r="16" customFormat="false" ht="39.55" hidden="false" customHeight="false" outlineLevel="0" collapsed="false">
      <c r="A16" s="5" t="s">
        <v>137</v>
      </c>
      <c r="B16" s="5" t="s">
        <v>138</v>
      </c>
      <c r="C16" s="10" t="n">
        <v>15</v>
      </c>
      <c r="D16" s="5" t="s">
        <v>139</v>
      </c>
      <c r="E16" s="10" t="n">
        <v>195</v>
      </c>
      <c r="F16" s="11" t="n">
        <v>21</v>
      </c>
      <c r="G16" s="12" t="n">
        <f aca="false">IF(AND(ISNUMBER(C16),ISNUMBER(E16),C16&gt;0),E16/C16,"")</f>
        <v>13</v>
      </c>
      <c r="H16" s="13" t="n">
        <f aca="false">IF(AND(ISNUMBER(C16),ISNUMBER(F16),C16&gt;0),F16/C16,"")</f>
        <v>1.4</v>
      </c>
      <c r="I16" s="5" t="s">
        <v>140</v>
      </c>
      <c r="J16" s="10" t="n">
        <v>30</v>
      </c>
      <c r="K16" s="5" t="s">
        <v>39</v>
      </c>
      <c r="L16" s="5" t="str">
        <f aca="false">IF(OR(J16="",K16=""),M16,IFERROR(IF(INDEX('Mijn fiets'!$C:$C,MATCH(K16,'Mijn fiets'!$A:$A,0))="","nog meten: "&amp;M16,IF(J16&lt;=INDEX('Mijn fiets'!$C:$C,MATCH(K16,'Mijn fiets'!$A:$A,0)),"past","past niet")),M16))</f>
        <v>past</v>
      </c>
      <c r="M16" s="5" t="s">
        <v>141</v>
      </c>
      <c r="N16" s="5" t="s">
        <v>142</v>
      </c>
      <c r="O16" s="5" t="s">
        <v>74</v>
      </c>
      <c r="P16" s="14" t="s">
        <v>143</v>
      </c>
      <c r="Q16" s="7"/>
    </row>
    <row r="17" customFormat="false" ht="26.85" hidden="false" customHeight="false" outlineLevel="0" collapsed="false">
      <c r="A17" s="5" t="s">
        <v>137</v>
      </c>
      <c r="B17" s="5" t="s">
        <v>144</v>
      </c>
      <c r="C17" s="5"/>
      <c r="D17" s="5" t="s">
        <v>145</v>
      </c>
      <c r="E17" s="10" t="n">
        <v>492</v>
      </c>
      <c r="F17" s="11" t="n">
        <v>55</v>
      </c>
      <c r="G17" s="12" t="str">
        <f aca="false">IF(AND(ISNUMBER(C17),ISNUMBER(E17),C17&gt;0),E17/C17,"")</f>
        <v/>
      </c>
      <c r="H17" s="13" t="str">
        <f aca="false">IF(AND(ISNUMBER(C17),ISNUMBER(F17),C17&gt;0),F17/C17,"")</f>
        <v/>
      </c>
      <c r="I17" s="5" t="s">
        <v>146</v>
      </c>
      <c r="J17" s="10" t="n">
        <v>40</v>
      </c>
      <c r="K17" s="5" t="s">
        <v>39</v>
      </c>
      <c r="L17" s="5" t="str">
        <f aca="false">IF(OR(J17="",K17=""),M17,IFERROR(IF(INDEX('Mijn fiets'!$C:$C,MATCH(K17,'Mijn fiets'!$A:$A,0))="","nog meten: "&amp;M17,IF(J17&lt;=INDEX('Mijn fiets'!$C:$C,MATCH(K17,'Mijn fiets'!$A:$A,0)),"past","past niet")),M17))</f>
        <v>past niet</v>
      </c>
      <c r="M17" s="5" t="s">
        <v>147</v>
      </c>
      <c r="N17" s="5" t="s">
        <v>148</v>
      </c>
      <c r="O17" s="5" t="s">
        <v>74</v>
      </c>
      <c r="P17" s="14" t="s">
        <v>149</v>
      </c>
      <c r="Q17" s="7"/>
    </row>
    <row r="18" customFormat="false" ht="39.55" hidden="false" customHeight="false" outlineLevel="0" collapsed="false">
      <c r="A18" s="5" t="s">
        <v>137</v>
      </c>
      <c r="B18" s="5" t="s">
        <v>150</v>
      </c>
      <c r="C18" s="10" t="n">
        <v>9</v>
      </c>
      <c r="D18" s="5" t="s">
        <v>151</v>
      </c>
      <c r="E18" s="10" t="n">
        <v>375</v>
      </c>
      <c r="F18" s="13"/>
      <c r="G18" s="12" t="n">
        <f aca="false">IF(AND(ISNUMBER(C18),ISNUMBER(E18),C18&gt;0),E18/C18,"")</f>
        <v>41.6666666666667</v>
      </c>
      <c r="H18" s="13" t="str">
        <f aca="false">IF(AND(ISNUMBER(C18),ISNUMBER(F18),C18&gt;0),F18/C18,"")</f>
        <v/>
      </c>
      <c r="I18" s="5" t="s">
        <v>152</v>
      </c>
      <c r="J18" s="10" t="n">
        <v>40</v>
      </c>
      <c r="K18" s="5" t="s">
        <v>39</v>
      </c>
      <c r="L18" s="5" t="str">
        <f aca="false">IF(OR(J18="",K18=""),M18,IFERROR(IF(INDEX('Mijn fiets'!$C:$C,MATCH(K18,'Mijn fiets'!$A:$A,0))="","nog meten: "&amp;M18,IF(J18&lt;=INDEX('Mijn fiets'!$C:$C,MATCH(K18,'Mijn fiets'!$A:$A,0)),"past","past niet")),M18))</f>
        <v>past niet</v>
      </c>
      <c r="M18" s="5" t="s">
        <v>153</v>
      </c>
      <c r="N18" s="5" t="s">
        <v>154</v>
      </c>
      <c r="O18" s="5"/>
      <c r="P18" s="14" t="s">
        <v>155</v>
      </c>
      <c r="Q18" s="7"/>
    </row>
    <row r="19" customFormat="false" ht="26.85" hidden="false" customHeight="false" outlineLevel="0" collapsed="false">
      <c r="A19" s="5" t="s">
        <v>156</v>
      </c>
      <c r="B19" s="5" t="s">
        <v>157</v>
      </c>
      <c r="C19" s="10" t="n">
        <v>1</v>
      </c>
      <c r="D19" s="5"/>
      <c r="E19" s="10" t="n">
        <v>189</v>
      </c>
      <c r="F19" s="11" t="n">
        <v>24.99</v>
      </c>
      <c r="G19" s="12" t="n">
        <f aca="false">IF(AND(ISNUMBER(C19),ISNUMBER(E19),C19&gt;0),E19/C19,"")</f>
        <v>189</v>
      </c>
      <c r="H19" s="13" t="n">
        <f aca="false">IF(AND(ISNUMBER(C19),ISNUMBER(F19),C19&gt;0),F19/C19,"")</f>
        <v>24.99</v>
      </c>
      <c r="I19" s="5" t="s">
        <v>158</v>
      </c>
      <c r="J19" s="5"/>
      <c r="K19" s="5"/>
      <c r="L19" s="5" t="str">
        <f aca="false">IF(OR(J19="",K19=""),M19,IFERROR(IF(INDEX('Mijn fiets'!$C:$C,MATCH(K19,'Mijn fiets'!$A:$A,0))="","nog meten: "&amp;M19,IF(J19&lt;=INDEX('Mijn fiets'!$C:$C,MATCH(K19,'Mijn fiets'!$A:$A,0)),"past","past niet")),M19))</f>
        <v>past (bandjes, geen boutjes nodig)</v>
      </c>
      <c r="M19" s="5" t="s">
        <v>159</v>
      </c>
      <c r="N19" s="5" t="s">
        <v>160</v>
      </c>
      <c r="O19" s="5" t="s">
        <v>161</v>
      </c>
      <c r="P19" s="14" t="s">
        <v>162</v>
      </c>
      <c r="Q19" s="7"/>
    </row>
    <row r="20" customFormat="false" ht="26.85" hidden="false" customHeight="false" outlineLevel="0" collapsed="false">
      <c r="A20" s="5" t="s">
        <v>156</v>
      </c>
      <c r="B20" s="5" t="s">
        <v>163</v>
      </c>
      <c r="C20" s="10" t="n">
        <v>0.75</v>
      </c>
      <c r="D20" s="5" t="s">
        <v>164</v>
      </c>
      <c r="E20" s="10" t="n">
        <v>169</v>
      </c>
      <c r="F20" s="11" t="n">
        <v>22.95</v>
      </c>
      <c r="G20" s="12" t="n">
        <f aca="false">IF(AND(ISNUMBER(C20),ISNUMBER(E20),C20&gt;0),E20/C20,"")</f>
        <v>225.333333333333</v>
      </c>
      <c r="H20" s="13" t="n">
        <f aca="false">IF(AND(ISNUMBER(C20),ISNUMBER(F20),C20&gt;0),F20/C20,"")</f>
        <v>30.6</v>
      </c>
      <c r="I20" s="5" t="s">
        <v>158</v>
      </c>
      <c r="J20" s="5"/>
      <c r="K20" s="5"/>
      <c r="L20" s="5" t="str">
        <f aca="false">IF(OR(J20="",K20=""),M20,IFERROR(IF(INDEX('Mijn fiets'!$C:$C,MATCH(K20,'Mijn fiets'!$A:$A,0))="","nog meten: "&amp;M20,IF(J20&lt;=INDEX('Mijn fiets'!$C:$C,MATCH(K20,'Mijn fiets'!$A:$A,0)),"past","past niet")),M20))</f>
        <v>past (bandjes)</v>
      </c>
      <c r="M20" s="5" t="s">
        <v>165</v>
      </c>
      <c r="N20" s="5" t="s">
        <v>166</v>
      </c>
      <c r="O20" s="5" t="s">
        <v>167</v>
      </c>
      <c r="P20" s="14" t="s">
        <v>168</v>
      </c>
      <c r="Q20" s="7"/>
    </row>
    <row r="21" customFormat="false" ht="26.85" hidden="false" customHeight="false" outlineLevel="0" collapsed="false">
      <c r="A21" s="5" t="s">
        <v>169</v>
      </c>
      <c r="B21" s="5" t="s">
        <v>170</v>
      </c>
      <c r="C21" s="10" t="n">
        <v>1</v>
      </c>
      <c r="D21" s="5"/>
      <c r="E21" s="10" t="n">
        <v>125</v>
      </c>
      <c r="F21" s="11" t="n">
        <v>26.95</v>
      </c>
      <c r="G21" s="12" t="n">
        <f aca="false">IF(AND(ISNUMBER(C21),ISNUMBER(E21),C21&gt;0),E21/C21,"")</f>
        <v>125</v>
      </c>
      <c r="H21" s="13" t="n">
        <f aca="false">IF(AND(ISNUMBER(C21),ISNUMBER(F21),C21&gt;0),F21/C21,"")</f>
        <v>26.95</v>
      </c>
      <c r="I21" s="5" t="s">
        <v>171</v>
      </c>
      <c r="J21" s="5"/>
      <c r="K21" s="5"/>
      <c r="L21" s="5" t="str">
        <f aca="false">IF(OR(J21="",K21=""),M21,IFERROR(IF(INDEX('Mijn fiets'!$C:$C,MATCH(K21,'Mijn fiets'!$A:$A,0))="","nog meten: "&amp;M21,IF(J21&lt;=INDEX('Mijn fiets'!$C:$C,MATCH(K21,'Mijn fiets'!$A:$A,0)),"past","past niet")),M21))</f>
        <v>past</v>
      </c>
      <c r="M21" s="5" t="s">
        <v>84</v>
      </c>
      <c r="N21" s="5" t="s">
        <v>172</v>
      </c>
      <c r="O21" s="5" t="s">
        <v>173</v>
      </c>
      <c r="P21" s="14" t="s">
        <v>174</v>
      </c>
      <c r="Q21" s="7"/>
    </row>
    <row r="22" customFormat="false" ht="39.55" hidden="false" customHeight="false" outlineLevel="0" collapsed="false">
      <c r="A22" s="5" t="s">
        <v>175</v>
      </c>
      <c r="B22" s="5" t="s">
        <v>176</v>
      </c>
      <c r="C22" s="5"/>
      <c r="D22" s="5"/>
      <c r="E22" s="5"/>
      <c r="F22" s="13"/>
      <c r="G22" s="12" t="str">
        <f aca="false">IF(AND(ISNUMBER(C22),ISNUMBER(E22),C22&gt;0),E22/C22,"")</f>
        <v/>
      </c>
      <c r="H22" s="13" t="str">
        <f aca="false">IF(AND(ISNUMBER(C22),ISNUMBER(F22),C22&gt;0),F22/C22,"")</f>
        <v/>
      </c>
      <c r="I22" s="5" t="s">
        <v>177</v>
      </c>
      <c r="J22" s="5"/>
      <c r="K22" s="5"/>
      <c r="L22" s="5" t="str">
        <f aca="false">IF(OR(J22="",K22=""),M22,IFERROR(IF(INDEX('Mijn fiets'!$C:$C,MATCH(K22,'Mijn fiets'!$A:$A,0))="","nog meten: "&amp;M22,IF(J22&lt;=INDEX('Mijn fiets'!$C:$C,MATCH(K22,'Mijn fiets'!$A:$A,0)),"past","past niet")),M22))</f>
        <v>past niet</v>
      </c>
      <c r="M22" s="5" t="s">
        <v>178</v>
      </c>
      <c r="N22" s="5" t="s">
        <v>179</v>
      </c>
      <c r="O22" s="5"/>
      <c r="P22" s="5"/>
      <c r="Q22" s="7"/>
    </row>
    <row r="23" customFormat="false" ht="26.85" hidden="false" customHeight="false" outlineLevel="0" collapsed="false">
      <c r="A23" s="5" t="s">
        <v>175</v>
      </c>
      <c r="B23" s="5" t="s">
        <v>180</v>
      </c>
      <c r="C23" s="5"/>
      <c r="D23" s="5"/>
      <c r="E23" s="5"/>
      <c r="F23" s="13"/>
      <c r="G23" s="12" t="str">
        <f aca="false">IF(AND(ISNUMBER(C23),ISNUMBER(E23),C23&gt;0),E23/C23,"")</f>
        <v/>
      </c>
      <c r="H23" s="13" t="str">
        <f aca="false">IF(AND(ISNUMBER(C23),ISNUMBER(F23),C23&gt;0),F23/C23,"")</f>
        <v/>
      </c>
      <c r="I23" s="5" t="s">
        <v>181</v>
      </c>
      <c r="J23" s="5"/>
      <c r="K23" s="5"/>
      <c r="L23" s="5" t="str">
        <f aca="false">IF(OR(J23="",K23=""),M23,IFERROR(IF(INDEX('Mijn fiets'!$C:$C,MATCH(K23,'Mijn fiets'!$A:$A,0))="","nog meten: "&amp;M23,IF(J23&lt;=INDEX('Mijn fiets'!$C:$C,MATCH(K23,'Mijn fiets'!$A:$A,0)),"past","past niet")),M23))</f>
        <v>past niet</v>
      </c>
      <c r="M23" s="5" t="s">
        <v>178</v>
      </c>
      <c r="N23" s="5" t="s">
        <v>182</v>
      </c>
      <c r="O23" s="5"/>
      <c r="P23" s="5"/>
      <c r="Q23" s="7"/>
    </row>
    <row r="24" customFormat="false" ht="26.85" hidden="false" customHeight="false" outlineLevel="0" collapsed="false">
      <c r="A24" s="5" t="s">
        <v>175</v>
      </c>
      <c r="B24" s="5" t="s">
        <v>183</v>
      </c>
      <c r="C24" s="5"/>
      <c r="D24" s="5"/>
      <c r="E24" s="5"/>
      <c r="F24" s="13"/>
      <c r="G24" s="12" t="str">
        <f aca="false">IF(AND(ISNUMBER(C24),ISNUMBER(E24),C24&gt;0),E24/C24,"")</f>
        <v/>
      </c>
      <c r="H24" s="13" t="str">
        <f aca="false">IF(AND(ISNUMBER(C24),ISNUMBER(F24),C24&gt;0),F24/C24,"")</f>
        <v/>
      </c>
      <c r="I24" s="5" t="s">
        <v>184</v>
      </c>
      <c r="J24" s="5"/>
      <c r="K24" s="5"/>
      <c r="L24" s="5" t="str">
        <f aca="false">IF(OR(J24="",K24=""),M24,IFERROR(IF(INDEX('Mijn fiets'!$C:$C,MATCH(K24,'Mijn fiets'!$A:$A,0))="","nog meten: "&amp;M24,IF(J24&lt;=INDEX('Mijn fiets'!$C:$C,MATCH(K24,'Mijn fiets'!$A:$A,0)),"past","past niet")),M24))</f>
        <v>past alleen zonder bidons</v>
      </c>
      <c r="M24" s="5" t="s">
        <v>185</v>
      </c>
      <c r="N24" s="5" t="s">
        <v>186</v>
      </c>
      <c r="O24" s="5"/>
      <c r="P24" s="5"/>
      <c r="Q24" s="7"/>
    </row>
  </sheetData>
  <autoFilter ref="A1:Q24"/>
  <conditionalFormatting sqref="L2:L24">
    <cfRule type="expression" priority="2" aboveAverage="0" equalAverage="0" bottom="0" percent="0" rank="0" text="" dxfId="8">
      <formula>LEFT(L2,4)="past"</formula>
    </cfRule>
    <cfRule type="expression" priority="3" aboveAverage="0" equalAverage="0" bottom="0" percent="0" rank="0" text="" dxfId="9">
      <formula>ISNUMBER(SEARCH("niet",L2))</formula>
    </cfRule>
  </conditionalFormatting>
  <dataValidations count="1">
    <dataValidation allowBlank="true" errorStyle="stop" operator="between" showDropDown="false" showErrorMessage="false" showInputMessage="false" sqref="Q2:Q74" type="list">
      <formula1>"x"</formula1>
      <formula2>0</formula2>
    </dataValidation>
  </dataValidations>
  <hyperlinks>
    <hyperlink ref="P2" r:id="rId2" display="https://www.decathlon.ie/p/324046-161051-bikepacking-half-frame-waterproof-frame-bag-ipx6-size-m-l-xl.html"/>
    <hyperlink ref="P3" r:id="rId3" display="https://www.decathlon.nl/sporten/fietsen/frametas"/>
    <hyperlink ref="P4" r:id="rId4" display="https://www.biketart.com/products/topeak-midloader"/>
    <hyperlink ref="P5" r:id="rId5" display="https://www.cyclable.com/16051-sacoche-de-cadre-topeak-midloader-3-a-6l.html"/>
    <hyperlink ref="P6" r:id="rId6" display="https://www.biketart.com/products/topeak-midloader"/>
    <hyperlink ref="P7" r:id="rId7" display="https://www.topgearcycles.co.nz/products/apidura-racing-frame-pack"/>
    <hyperlink ref="P8" r:id="rId8" display="https://sigmasports.com/item/Apidura/Racing-Frame-Pack-4L/NCI1"/>
    <hyperlink ref="P9" r:id="rId9" display="https://www.rabe-bike.de/en/ortlieb-frame-pack-4l-toptube-rc-black-matt"/>
    <hyperlink ref="P10" r:id="rId10" display="https://www.decathlon.ie/p/323978-126550-6-to-15l-watertight-bikepacking-saddle-bag.html"/>
    <hyperlink ref="P11" r:id="rId11" display="https://bikeradar.com/news/decathlon-advt-900-bikepacking-bags"/>
    <hyperlink ref="P12" r:id="rId12" display="https://bikeporn-en.wpjshop.cz/topeak-bikepacking-backloader-6l-black_z943/"/>
    <hyperlink ref="P13" r:id="rId13" display="https://www.lecyclo.com/de-de/products/sacoche-de-selle-velo-bikepacking-backloader-topeak"/>
    <hyperlink ref="P14" r:id="rId14" display="https://shop.eatsleepcycle.com/products/seat-pack"/>
    <hyperlink ref="P15" r:id="rId15" display="https://shop.fieldandstream.com/products/rockbros-10l-waterproof-bike-saddle-bag-large-capacity-easy-install"/>
    <hyperlink ref="P16" r:id="rId16" display="https://www.decathlon.ie/p/323999-135182-watertight-handlebar-bag-5-to-15-l-bikepacking-riverside.html"/>
    <hyperlink ref="P17" r:id="rId17" display="https://www.decathlon.ie/p/323998-130188-bikepacking-handlebar-bag-harness-riverside.html"/>
    <hyperlink ref="P18" r:id="rId18" display="https://billybilslandcycles.co.uk/products/ortlieb-handlebar-pack"/>
    <hyperlink ref="P19" r:id="rId19" display="https://www.kampeermeneer.nl/review-gemakkelijk-bijtanken-met-de-riverside-bovenbuistas/"/>
    <hyperlink ref="P20" r:id="rId20" display="https://www.rosebikes.es/p/topeak-toploader-bicycle-frame-bag-2653694"/>
    <hyperlink ref="P21" r:id="rId21" display="https://www.rosebikes.com/p/topeak-freeloader-stem-bag-26855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6" min="5" style="0" width="22"/>
  </cols>
  <sheetData>
    <row r="1" customFormat="false" ht="26.85" hidden="false" customHeight="false" outlineLevel="0" collapsed="false">
      <c r="A1" s="4" t="s">
        <v>51</v>
      </c>
      <c r="B1" s="4" t="s">
        <v>187</v>
      </c>
      <c r="C1" s="4" t="s">
        <v>55</v>
      </c>
      <c r="D1" s="4" t="s">
        <v>56</v>
      </c>
      <c r="E1" s="4" t="s">
        <v>188</v>
      </c>
      <c r="F1" s="4" t="s">
        <v>189</v>
      </c>
    </row>
    <row r="2" customFormat="false" ht="15" hidden="false" customHeight="false" outlineLevel="0" collapsed="false">
      <c r="A2" s="15" t="s">
        <v>68</v>
      </c>
      <c r="B2" s="15" t="n">
        <f aca="false">COUNTIFS(Uitrusting!$A:$A,A2,Uitrusting!$Q:$Q,"x")</f>
        <v>0</v>
      </c>
      <c r="C2" s="16" t="n">
        <f aca="false">SUMIFS(Uitrusting!$E:$E,Uitrusting!$A:$A,A2,Uitrusting!$Q:$Q,"x")</f>
        <v>0</v>
      </c>
      <c r="D2" s="17" t="n">
        <f aca="false">SUMIFS(Uitrusting!$F:$F,Uitrusting!$A:$A,A2,Uitrusting!$Q:$Q,"x")</f>
        <v>0</v>
      </c>
      <c r="E2" s="15" t="n">
        <f aca="false">COUNTIFS(Uitrusting!$A:$A,A2,Uitrusting!$Q:$Q,"x",Uitrusting!$E:$E,"")</f>
        <v>0</v>
      </c>
      <c r="F2" s="15" t="n">
        <f aca="false">COUNTIFS(Uitrusting!$A:$A,A2,Uitrusting!$Q:$Q,"x",Uitrusting!$F:$F,"")</f>
        <v>0</v>
      </c>
    </row>
    <row r="3" customFormat="false" ht="15" hidden="false" customHeight="false" outlineLevel="0" collapsed="false">
      <c r="A3" s="15" t="s">
        <v>109</v>
      </c>
      <c r="B3" s="15" t="n">
        <f aca="false">COUNTIFS(Uitrusting!$A:$A,A3,Uitrusting!$Q:$Q,"x")</f>
        <v>0</v>
      </c>
      <c r="C3" s="16" t="n">
        <f aca="false">SUMIFS(Uitrusting!$E:$E,Uitrusting!$A:$A,A3,Uitrusting!$Q:$Q,"x")</f>
        <v>0</v>
      </c>
      <c r="D3" s="17" t="n">
        <f aca="false">SUMIFS(Uitrusting!$F:$F,Uitrusting!$A:$A,A3,Uitrusting!$Q:$Q,"x")</f>
        <v>0</v>
      </c>
      <c r="E3" s="15" t="n">
        <f aca="false">COUNTIFS(Uitrusting!$A:$A,A3,Uitrusting!$Q:$Q,"x",Uitrusting!$E:$E,"")</f>
        <v>0</v>
      </c>
      <c r="F3" s="15" t="n">
        <f aca="false">COUNTIFS(Uitrusting!$A:$A,A3,Uitrusting!$Q:$Q,"x",Uitrusting!$F:$F,"")</f>
        <v>0</v>
      </c>
    </row>
    <row r="4" customFormat="false" ht="15" hidden="false" customHeight="false" outlineLevel="0" collapsed="false">
      <c r="A4" s="15" t="s">
        <v>137</v>
      </c>
      <c r="B4" s="15" t="n">
        <f aca="false">COUNTIFS(Uitrusting!$A:$A,A4,Uitrusting!$Q:$Q,"x")</f>
        <v>0</v>
      </c>
      <c r="C4" s="16" t="n">
        <f aca="false">SUMIFS(Uitrusting!$E:$E,Uitrusting!$A:$A,A4,Uitrusting!$Q:$Q,"x")</f>
        <v>0</v>
      </c>
      <c r="D4" s="17" t="n">
        <f aca="false">SUMIFS(Uitrusting!$F:$F,Uitrusting!$A:$A,A4,Uitrusting!$Q:$Q,"x")</f>
        <v>0</v>
      </c>
      <c r="E4" s="15" t="n">
        <f aca="false">COUNTIFS(Uitrusting!$A:$A,A4,Uitrusting!$Q:$Q,"x",Uitrusting!$E:$E,"")</f>
        <v>0</v>
      </c>
      <c r="F4" s="15" t="n">
        <f aca="false">COUNTIFS(Uitrusting!$A:$A,A4,Uitrusting!$Q:$Q,"x",Uitrusting!$F:$F,"")</f>
        <v>0</v>
      </c>
    </row>
    <row r="5" customFormat="false" ht="15" hidden="false" customHeight="false" outlineLevel="0" collapsed="false">
      <c r="A5" s="15" t="s">
        <v>156</v>
      </c>
      <c r="B5" s="15" t="n">
        <f aca="false">COUNTIFS(Uitrusting!$A:$A,A5,Uitrusting!$Q:$Q,"x")</f>
        <v>0</v>
      </c>
      <c r="C5" s="16" t="n">
        <f aca="false">SUMIFS(Uitrusting!$E:$E,Uitrusting!$A:$A,A5,Uitrusting!$Q:$Q,"x")</f>
        <v>0</v>
      </c>
      <c r="D5" s="17" t="n">
        <f aca="false">SUMIFS(Uitrusting!$F:$F,Uitrusting!$A:$A,A5,Uitrusting!$Q:$Q,"x")</f>
        <v>0</v>
      </c>
      <c r="E5" s="15" t="n">
        <f aca="false">COUNTIFS(Uitrusting!$A:$A,A5,Uitrusting!$Q:$Q,"x",Uitrusting!$E:$E,"")</f>
        <v>0</v>
      </c>
      <c r="F5" s="15" t="n">
        <f aca="false">COUNTIFS(Uitrusting!$A:$A,A5,Uitrusting!$Q:$Q,"x",Uitrusting!$F:$F,"")</f>
        <v>0</v>
      </c>
    </row>
    <row r="6" customFormat="false" ht="15" hidden="false" customHeight="false" outlineLevel="0" collapsed="false">
      <c r="A6" s="15" t="s">
        <v>169</v>
      </c>
      <c r="B6" s="15" t="n">
        <f aca="false">COUNTIFS(Uitrusting!$A:$A,A6,Uitrusting!$Q:$Q,"x")</f>
        <v>0</v>
      </c>
      <c r="C6" s="16" t="n">
        <f aca="false">SUMIFS(Uitrusting!$E:$E,Uitrusting!$A:$A,A6,Uitrusting!$Q:$Q,"x")</f>
        <v>0</v>
      </c>
      <c r="D6" s="17" t="n">
        <f aca="false">SUMIFS(Uitrusting!$F:$F,Uitrusting!$A:$A,A6,Uitrusting!$Q:$Q,"x")</f>
        <v>0</v>
      </c>
      <c r="E6" s="15" t="n">
        <f aca="false">COUNTIFS(Uitrusting!$A:$A,A6,Uitrusting!$Q:$Q,"x",Uitrusting!$E:$E,"")</f>
        <v>0</v>
      </c>
      <c r="F6" s="15" t="n">
        <f aca="false">COUNTIFS(Uitrusting!$A:$A,A6,Uitrusting!$Q:$Q,"x",Uitrusting!$F:$F,"")</f>
        <v>0</v>
      </c>
    </row>
    <row r="7" customFormat="false" ht="15" hidden="false" customHeight="false" outlineLevel="0" collapsed="false">
      <c r="A7" s="18" t="s">
        <v>190</v>
      </c>
      <c r="B7" s="18" t="n">
        <f aca="false">SUM(B2:B6)</f>
        <v>0</v>
      </c>
      <c r="C7" s="19" t="n">
        <f aca="false">SUM(C2:C6)</f>
        <v>0</v>
      </c>
      <c r="D7" s="20" t="n">
        <f aca="false">SUM(D2:D6)</f>
        <v>0</v>
      </c>
      <c r="E7" s="18" t="n">
        <f aca="false">SUM(E2:E6)</f>
        <v>0</v>
      </c>
      <c r="F7" s="18" t="n">
        <f aca="false">SUM(F2:F6)</f>
        <v>0</v>
      </c>
    </row>
    <row r="9" customFormat="false" ht="15" hidden="false" customHeight="false" outlineLevel="0" collapsed="false">
      <c r="A9" s="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2026-10-10T12:49:33Z</dcterms:created>
  <dc:creator>openpyxl</dc:creator>
  <dc:description/>
  <dc:language>en-US</dc:language>
  <cp:lastModifiedBy/>
  <dcterms:modified xsi:type="dcterms:W3CDTF">2026-10-10T12:49:33Z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